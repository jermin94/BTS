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120" yWindow="45" windowWidth="20730" windowHeight="10035"/>
  </bookViews>
  <sheets>
    <sheet name="Facture-baby" sheetId="7" r:id="rId1"/>
    <sheet name="Baby" sheetId="6" r:id="rId2"/>
    <sheet name="Facture" sheetId="1" r:id="rId3"/>
    <sheet name="LIGUES" sheetId="2" r:id="rId4"/>
    <sheet name="prestations" sheetId="3" r:id="rId5"/>
    <sheet name="parametres" sheetId="4" r:id="rId6"/>
    <sheet name="Feuil1" sheetId="5" r:id="rId7"/>
  </sheets>
  <definedNames>
    <definedName name="BabyFoot" localSheetId="3">LIGUES!$E$4</definedName>
    <definedName name="_xlnm.Print_Area" localSheetId="2">Facture!$A$1:$G$50</definedName>
    <definedName name="_xlnm.Print_Area" localSheetId="0">'Facture-baby'!$A$1:$G$50</definedName>
  </definedNames>
  <calcPr calcId="125725"/>
</workbook>
</file>

<file path=xl/calcChain.xml><?xml version="1.0" encoding="utf-8"?>
<calcChain xmlns="http://schemas.openxmlformats.org/spreadsheetml/2006/main">
  <c r="F24" i="6"/>
  <c r="G40" i="7"/>
  <c r="G28"/>
  <c r="B28"/>
  <c r="F28"/>
  <c r="B22"/>
  <c r="E8"/>
  <c r="E7"/>
  <c r="F26"/>
  <c r="G26" s="1"/>
  <c r="B26"/>
  <c r="G24"/>
  <c r="F24"/>
  <c r="B24"/>
  <c r="F22"/>
  <c r="G22" s="1"/>
  <c r="G17"/>
  <c r="G43" l="1"/>
  <c r="F24" i="5"/>
  <c r="C4" i="4" l="1"/>
  <c r="B4" s="1"/>
  <c r="B5" s="1"/>
  <c r="C5" s="1"/>
  <c r="G26" i="1" l="1"/>
  <c r="G24"/>
  <c r="G22"/>
  <c r="G40" s="1"/>
  <c r="G43" s="1"/>
  <c r="F26"/>
  <c r="F24"/>
  <c r="F22"/>
  <c r="B26"/>
  <c r="B24"/>
  <c r="B22"/>
  <c r="G17"/>
  <c r="E8"/>
  <c r="E7"/>
</calcChain>
</file>

<file path=xl/sharedStrings.xml><?xml version="1.0" encoding="utf-8"?>
<sst xmlns="http://schemas.openxmlformats.org/spreadsheetml/2006/main" count="118" uniqueCount="52">
  <si>
    <t>CROSL</t>
  </si>
  <si>
    <t xml:space="preserve">Maison Régionale des Sports de Lorraine </t>
  </si>
  <si>
    <t>13 rue Jean Moulin</t>
  </si>
  <si>
    <t>BP 70001</t>
  </si>
  <si>
    <t>54510 TOMBLAINE</t>
  </si>
  <si>
    <t>Siret 31740105700029</t>
  </si>
  <si>
    <t>Fax 03.83.18.87.03</t>
  </si>
  <si>
    <r>
      <t xml:space="preserve">Tél </t>
    </r>
    <r>
      <rPr>
        <b/>
        <sz val="11"/>
        <color theme="1"/>
        <rFont val="Calibri"/>
        <family val="2"/>
        <scheme val="minor"/>
      </rPr>
      <t>03.83.18.87.02</t>
    </r>
  </si>
  <si>
    <t>FACTURE</t>
  </si>
  <si>
    <t>Date</t>
  </si>
  <si>
    <t>Numero</t>
  </si>
  <si>
    <t>Code Client</t>
  </si>
  <si>
    <t>Échéance</t>
  </si>
  <si>
    <t>Référence</t>
  </si>
  <si>
    <t>Désignation</t>
  </si>
  <si>
    <t>Qté</t>
  </si>
  <si>
    <t>PU HT</t>
  </si>
  <si>
    <t>Montant TTC</t>
  </si>
  <si>
    <t>Déclaré à la préfecture de Meurthe et Moselle N° 3898</t>
  </si>
  <si>
    <t>Domiciliation bancaire 10278 04065 000 166911045 05</t>
  </si>
  <si>
    <t>Merci de bien vouloir préciser les références de la facture acquittée</t>
  </si>
  <si>
    <t>TVA non applicable</t>
  </si>
  <si>
    <t>MONTANT A PAYER</t>
  </si>
  <si>
    <t>Total TTC</t>
  </si>
  <si>
    <t>Ligue Lorraine Escrime</t>
  </si>
  <si>
    <t>Valérie LAHEURTE</t>
  </si>
  <si>
    <t>Ligue Lorraine de FootBall</t>
  </si>
  <si>
    <t>Pierre LENOIR</t>
  </si>
  <si>
    <t>Ligue Lorraine de Basket</t>
  </si>
  <si>
    <t>Mohamed BOURGARD</t>
  </si>
  <si>
    <t>AFFRAN</t>
  </si>
  <si>
    <t>PHOTOCOULEUR</t>
  </si>
  <si>
    <t>PHOTON&amp;B</t>
  </si>
  <si>
    <t>Affranchissement</t>
  </si>
  <si>
    <t>Photocopies couleur</t>
  </si>
  <si>
    <t>Photocopies Noir et Blanc</t>
  </si>
  <si>
    <t>facture</t>
  </si>
  <si>
    <t>facture suivante</t>
  </si>
  <si>
    <t>FACTURATION</t>
  </si>
  <si>
    <t>Basket</t>
  </si>
  <si>
    <t>Escrime</t>
  </si>
  <si>
    <t>Foot</t>
  </si>
  <si>
    <t>A l'attention de Valérie LAHEURTE</t>
  </si>
  <si>
    <t>TOTAL</t>
  </si>
  <si>
    <t>FC 5174</t>
  </si>
  <si>
    <t>Ligue Lorraine de Baby Foot</t>
  </si>
  <si>
    <t>Baby Foot</t>
  </si>
  <si>
    <t>Sylvain Delahousse</t>
  </si>
  <si>
    <t>TRACEUR</t>
  </si>
  <si>
    <t>Utilisation du traceur</t>
  </si>
  <si>
    <t>FC 5175</t>
  </si>
  <si>
    <t>A l'attention de Sylvain Delahousse</t>
  </si>
</sst>
</file>

<file path=xl/styles.xml><?xml version="1.0" encoding="utf-8"?>
<styleSheet xmlns="http://schemas.openxmlformats.org/spreadsheetml/2006/main">
  <numFmts count="2">
    <numFmt numFmtId="44" formatCode="_-* #,##0.00\ &quot;€&quot;_-;\-* #,##0.00\ &quot;€&quot;_-;_-* &quot;-&quot;??\ &quot;€&quot;_-;_-@_-"/>
    <numFmt numFmtId="164" formatCode="0.000"/>
  </numFmts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5" fillId="2" borderId="1" applyNumberFormat="0" applyAlignment="0" applyProtection="0"/>
  </cellStyleXfs>
  <cellXfs count="18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164" fontId="0" fillId="0" borderId="0" xfId="0" applyNumberFormat="1"/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 indent="2"/>
    </xf>
    <xf numFmtId="2" fontId="0" fillId="0" borderId="0" xfId="0" applyNumberFormat="1" applyAlignment="1">
      <alignment horizontal="right" indent="2"/>
    </xf>
    <xf numFmtId="44" fontId="0" fillId="0" borderId="0" xfId="1" applyFont="1" applyAlignment="1">
      <alignment horizontal="right" indent="2"/>
    </xf>
    <xf numFmtId="44" fontId="0" fillId="0" borderId="0" xfId="1" applyFont="1"/>
    <xf numFmtId="44" fontId="2" fillId="0" borderId="0" xfId="1" applyFont="1"/>
    <xf numFmtId="14" fontId="0" fillId="0" borderId="0" xfId="0" applyNumberFormat="1" applyProtection="1">
      <protection locked="0"/>
    </xf>
    <xf numFmtId="0" fontId="0" fillId="0" borderId="0" xfId="0" applyProtection="1">
      <protection locked="0"/>
    </xf>
    <xf numFmtId="2" fontId="0" fillId="0" borderId="0" xfId="0" applyNumberFormat="1" applyAlignment="1" applyProtection="1">
      <alignment horizontal="right" indent="2"/>
      <protection locked="0"/>
    </xf>
    <xf numFmtId="44" fontId="0" fillId="0" borderId="0" xfId="0" applyNumberFormat="1"/>
    <xf numFmtId="20" fontId="0" fillId="0" borderId="0" xfId="0" applyNumberFormat="1"/>
    <xf numFmtId="0" fontId="5" fillId="2" borderId="1" xfId="2"/>
  </cellXfs>
  <cellStyles count="3">
    <cellStyle name="Calcul" xfId="2" builtinId="22"/>
    <cellStyle name="Monétaire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Range="LIGUES!E$1:$E$3" noThreeD="1" sel="0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5.xml"/><Relationship Id="rId2" Type="http://schemas.openxmlformats.org/officeDocument/2006/relationships/control" Target="../activeX/activeX2.xml"/><Relationship Id="rId1" Type="http://schemas.openxmlformats.org/officeDocument/2006/relationships/vmlDrawing" Target="../drawings/vmlDrawing4.v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7"/>
  <dimension ref="A1:G50"/>
  <sheetViews>
    <sheetView tabSelected="1" topLeftCell="A10" workbookViewId="0">
      <selection activeCell="G8" sqref="G8"/>
    </sheetView>
  </sheetViews>
  <sheetFormatPr baseColWidth="10" defaultRowHeight="15"/>
  <cols>
    <col min="6" max="6" width="13.28515625" bestFit="1" customWidth="1"/>
    <col min="7" max="7" width="17.7109375" customWidth="1"/>
  </cols>
  <sheetData>
    <row r="1" spans="1:7">
      <c r="A1" t="s">
        <v>0</v>
      </c>
    </row>
    <row r="3" spans="1:7">
      <c r="A3" t="s">
        <v>1</v>
      </c>
    </row>
    <row r="4" spans="1:7">
      <c r="A4" t="s">
        <v>2</v>
      </c>
    </row>
    <row r="5" spans="1:7">
      <c r="A5" t="s">
        <v>3</v>
      </c>
    </row>
    <row r="6" spans="1:7">
      <c r="A6" s="1" t="s">
        <v>4</v>
      </c>
    </row>
    <row r="7" spans="1:7">
      <c r="E7" s="13" t="str">
        <f>VLOOKUP(E17,LIGUES!$A$1:$C$4,2)</f>
        <v>Ligue Lorraine de Baby Foot</v>
      </c>
    </row>
    <row r="8" spans="1:7">
      <c r="A8" t="s">
        <v>5</v>
      </c>
      <c r="E8" s="13" t="str">
        <f>"A l'attention de "&amp;VLOOKUP(E17,LIGUES!$A$1:$C$4,3)</f>
        <v>A l'attention de Sylvain Delahousse</v>
      </c>
    </row>
    <row r="9" spans="1:7">
      <c r="A9" t="s">
        <v>7</v>
      </c>
      <c r="E9" t="s">
        <v>1</v>
      </c>
    </row>
    <row r="10" spans="1:7">
      <c r="A10" t="s">
        <v>6</v>
      </c>
      <c r="E10" t="s">
        <v>2</v>
      </c>
    </row>
    <row r="11" spans="1:7">
      <c r="E11" s="1" t="s">
        <v>4</v>
      </c>
    </row>
    <row r="14" spans="1:7" ht="15.75">
      <c r="A14" s="2" t="s">
        <v>8</v>
      </c>
    </row>
    <row r="16" spans="1:7">
      <c r="A16" t="s">
        <v>9</v>
      </c>
      <c r="C16" t="s">
        <v>10</v>
      </c>
      <c r="E16" t="s">
        <v>11</v>
      </c>
      <c r="G16" t="s">
        <v>12</v>
      </c>
    </row>
    <row r="17" spans="1:7">
      <c r="A17" s="12">
        <v>42016</v>
      </c>
      <c r="C17" s="13" t="s">
        <v>50</v>
      </c>
      <c r="E17" s="13">
        <v>411010</v>
      </c>
      <c r="G17" s="6">
        <f>EOMONTH(A17,0)</f>
        <v>42035</v>
      </c>
    </row>
    <row r="20" spans="1:7">
      <c r="A20" t="s">
        <v>13</v>
      </c>
      <c r="B20" t="s">
        <v>14</v>
      </c>
      <c r="E20" t="s">
        <v>15</v>
      </c>
      <c r="F20" t="s">
        <v>16</v>
      </c>
      <c r="G20" t="s">
        <v>17</v>
      </c>
    </row>
    <row r="22" spans="1:7">
      <c r="A22" s="13" t="s">
        <v>30</v>
      </c>
      <c r="B22" t="str">
        <f>IF(ISBLANK(A22),"",VLOOKUP(A22,prestations!$A$1:$C$3,2))</f>
        <v>Affranchissement</v>
      </c>
      <c r="E22" s="14">
        <v>0</v>
      </c>
      <c r="F22" s="7">
        <f>IF(ISBLANK(A22),"",VLOOKUP(A22,prestations!$A$1:$C$3,3))</f>
        <v>3.33</v>
      </c>
      <c r="G22" s="9">
        <f>IF(ISBLANK(E22),"",E22*F22)</f>
        <v>0</v>
      </c>
    </row>
    <row r="23" spans="1:7">
      <c r="E23" s="8"/>
      <c r="G23" s="8"/>
    </row>
    <row r="24" spans="1:7">
      <c r="A24" s="13" t="s">
        <v>31</v>
      </c>
      <c r="B24" t="str">
        <f>IF(ISBLANK(A24),"",VLOOKUP(A24,prestations!$A$1:$C$3,2))</f>
        <v>Photocopies couleur</v>
      </c>
      <c r="E24" s="14">
        <v>300</v>
      </c>
      <c r="F24" s="7">
        <f>IF(ISBLANK(A24),"",VLOOKUP(A24,prestations!$A$1:$C$3,3))</f>
        <v>0.24</v>
      </c>
      <c r="G24" s="9">
        <f>IF(ISBLANK(E24),"",E24*F24)</f>
        <v>72</v>
      </c>
    </row>
    <row r="25" spans="1:7">
      <c r="E25" s="8"/>
      <c r="G25" s="8"/>
    </row>
    <row r="26" spans="1:7">
      <c r="A26" s="13" t="s">
        <v>32</v>
      </c>
      <c r="B26" t="str">
        <f>IF(ISBLANK(A26),"",VLOOKUP(A26,prestations!$A$1:$C$3,2))</f>
        <v>Photocopies Noir et Blanc</v>
      </c>
      <c r="E26" s="14">
        <v>552</v>
      </c>
      <c r="F26" s="7">
        <f>IF(ISBLANK(A26),"",VLOOKUP(A26,prestations!$A$1:$C$3,3))</f>
        <v>5.5E-2</v>
      </c>
      <c r="G26" s="9">
        <f>IF(ISBLANK(E26),"",E26*F26)</f>
        <v>30.36</v>
      </c>
    </row>
    <row r="28" spans="1:7">
      <c r="A28" t="s">
        <v>48</v>
      </c>
      <c r="B28" t="str">
        <f>IF(ISBLANK(A28),"",VLOOKUP(A28,prestations!$A$1:$C$4,2))</f>
        <v>Utilisation du traceur</v>
      </c>
      <c r="E28" s="3">
        <v>1</v>
      </c>
      <c r="F28" s="3">
        <f>IF(ISBLANK(A28),"",VLOOKUP(A28,prestations!$A$1:$C$4,3))</f>
        <v>0.35599999999999998</v>
      </c>
      <c r="G28">
        <f>IF(ISBLANK(E28),"",E28*F28)</f>
        <v>0.35599999999999998</v>
      </c>
    </row>
    <row r="40" spans="1:7">
      <c r="F40" s="3" t="s">
        <v>23</v>
      </c>
      <c r="G40" s="10">
        <f>SUM(G22,G24,G26,G28)</f>
        <v>102.71599999999999</v>
      </c>
    </row>
    <row r="43" spans="1:7">
      <c r="F43" s="4" t="s">
        <v>22</v>
      </c>
      <c r="G43" s="11">
        <f>G40</f>
        <v>102.71599999999999</v>
      </c>
    </row>
    <row r="47" spans="1:7">
      <c r="A47" t="s">
        <v>18</v>
      </c>
    </row>
    <row r="48" spans="1:7">
      <c r="A48" t="s">
        <v>19</v>
      </c>
    </row>
    <row r="49" spans="1:1">
      <c r="A49" t="s">
        <v>20</v>
      </c>
    </row>
    <row r="50" spans="1:1">
      <c r="A50" t="s">
        <v>21</v>
      </c>
    </row>
  </sheetData>
  <pageMargins left="0.70866141732283472" right="0" top="0.74803149606299213" bottom="0.74803149606299213" header="0.31496062992125984" footer="0.31496062992125984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6"/>
  <dimension ref="A1:F24"/>
  <sheetViews>
    <sheetView showGridLines="0" showRowColHeaders="0" workbookViewId="0">
      <selection activeCell="A4" sqref="A4"/>
    </sheetView>
  </sheetViews>
  <sheetFormatPr baseColWidth="10" defaultRowHeight="15"/>
  <sheetData>
    <row r="1" spans="1:6">
      <c r="A1" t="s">
        <v>0</v>
      </c>
    </row>
    <row r="2" spans="1:6">
      <c r="A2" t="s">
        <v>38</v>
      </c>
    </row>
    <row r="4" spans="1:6">
      <c r="A4" s="17" t="s">
        <v>46</v>
      </c>
    </row>
    <row r="7" spans="1:6">
      <c r="D7" s="13" t="s">
        <v>45</v>
      </c>
    </row>
    <row r="8" spans="1:6">
      <c r="D8" s="13" t="s">
        <v>51</v>
      </c>
    </row>
    <row r="9" spans="1:6">
      <c r="D9" t="s">
        <v>1</v>
      </c>
    </row>
    <row r="10" spans="1:6">
      <c r="D10" t="s">
        <v>2</v>
      </c>
    </row>
    <row r="11" spans="1:6">
      <c r="D11" s="1" t="s">
        <v>4</v>
      </c>
    </row>
    <row r="15" spans="1:6">
      <c r="A15" t="s">
        <v>14</v>
      </c>
      <c r="D15" t="s">
        <v>15</v>
      </c>
      <c r="E15" t="s">
        <v>16</v>
      </c>
      <c r="F15" t="s">
        <v>17</v>
      </c>
    </row>
    <row r="17" spans="1:6">
      <c r="A17" t="s">
        <v>33</v>
      </c>
      <c r="D17" s="14">
        <v>0</v>
      </c>
      <c r="E17" s="7">
        <v>3.33</v>
      </c>
      <c r="F17" s="9">
        <v>0</v>
      </c>
    </row>
    <row r="18" spans="1:6">
      <c r="D18" s="8"/>
      <c r="F18" s="8"/>
    </row>
    <row r="19" spans="1:6">
      <c r="A19" t="s">
        <v>34</v>
      </c>
      <c r="D19" s="14">
        <v>300</v>
      </c>
      <c r="E19" s="7">
        <v>0.24</v>
      </c>
      <c r="F19" s="9">
        <v>72</v>
      </c>
    </row>
    <row r="20" spans="1:6">
      <c r="D20" s="8"/>
      <c r="F20" s="8"/>
    </row>
    <row r="21" spans="1:6">
      <c r="A21" t="s">
        <v>35</v>
      </c>
      <c r="D21" s="14">
        <v>552</v>
      </c>
      <c r="E21" s="7">
        <v>5.5E-2</v>
      </c>
      <c r="F21" s="9">
        <v>30.36</v>
      </c>
    </row>
    <row r="23" spans="1:6">
      <c r="A23" t="s">
        <v>35</v>
      </c>
      <c r="D23" s="14">
        <v>1</v>
      </c>
      <c r="E23" s="7">
        <v>0.35599999999999998</v>
      </c>
      <c r="F23" s="9">
        <v>0.35599999999999998</v>
      </c>
    </row>
    <row r="24" spans="1:6">
      <c r="E24" s="1" t="s">
        <v>43</v>
      </c>
      <c r="F24" s="15">
        <f>SUM(F17:F23)</f>
        <v>102.71599999999999</v>
      </c>
    </row>
  </sheetData>
  <dataConsolidate/>
  <dataValidations count="1">
    <dataValidation type="list" allowBlank="1" showInputMessage="1" showErrorMessage="1" sqref="A4">
      <formula1>LIGUES!$E$1:$E$4</formula1>
    </dataValidation>
  </dataValidations>
  <pageMargins left="0.7" right="0.7" top="0.75" bottom="0.75" header="0.3" footer="0.3"/>
  <legacyDrawing r:id="rId1"/>
  <controls>
    <control shapeId="7169" r:id="rId2" name="toto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1"/>
  <dimension ref="A1:G50"/>
  <sheetViews>
    <sheetView topLeftCell="A4" workbookViewId="0">
      <selection activeCell="E17" sqref="E17"/>
    </sheetView>
  </sheetViews>
  <sheetFormatPr baseColWidth="10" defaultRowHeight="15"/>
  <cols>
    <col min="6" max="6" width="13.28515625" bestFit="1" customWidth="1"/>
    <col min="7" max="7" width="17.7109375" customWidth="1"/>
  </cols>
  <sheetData>
    <row r="1" spans="1:7">
      <c r="A1" t="s">
        <v>0</v>
      </c>
    </row>
    <row r="3" spans="1:7">
      <c r="A3" t="s">
        <v>1</v>
      </c>
    </row>
    <row r="4" spans="1:7">
      <c r="A4" t="s">
        <v>2</v>
      </c>
    </row>
    <row r="5" spans="1:7">
      <c r="A5" t="s">
        <v>3</v>
      </c>
    </row>
    <row r="6" spans="1:7">
      <c r="A6" s="1" t="s">
        <v>4</v>
      </c>
    </row>
    <row r="7" spans="1:7">
      <c r="E7" s="13" t="str">
        <f>VLOOKUP(E17,LIGUES!$A$1:$C$3,2)</f>
        <v>Ligue Lorraine Escrime</v>
      </c>
    </row>
    <row r="8" spans="1:7">
      <c r="A8" t="s">
        <v>5</v>
      </c>
      <c r="E8" s="13" t="str">
        <f>"A l'attention de "&amp;VLOOKUP(E17,LIGUES!$A$1:$C$3,3)</f>
        <v>A l'attention de Valérie LAHEURTE</v>
      </c>
    </row>
    <row r="9" spans="1:7">
      <c r="A9" t="s">
        <v>7</v>
      </c>
      <c r="E9" t="s">
        <v>1</v>
      </c>
    </row>
    <row r="10" spans="1:7">
      <c r="A10" t="s">
        <v>6</v>
      </c>
      <c r="E10" t="s">
        <v>2</v>
      </c>
    </row>
    <row r="11" spans="1:7">
      <c r="E11" s="1" t="s">
        <v>4</v>
      </c>
    </row>
    <row r="14" spans="1:7" ht="15.75">
      <c r="A14" s="2" t="s">
        <v>8</v>
      </c>
    </row>
    <row r="16" spans="1:7">
      <c r="A16" t="s">
        <v>9</v>
      </c>
      <c r="C16" t="s">
        <v>10</v>
      </c>
      <c r="E16" t="s">
        <v>11</v>
      </c>
      <c r="G16" t="s">
        <v>12</v>
      </c>
    </row>
    <row r="17" spans="1:7">
      <c r="A17" s="12">
        <v>40951</v>
      </c>
      <c r="C17" s="13" t="s">
        <v>44</v>
      </c>
      <c r="E17" s="13">
        <v>411007</v>
      </c>
      <c r="G17" s="6">
        <f>EOMONTH(A17,0)</f>
        <v>40968</v>
      </c>
    </row>
    <row r="20" spans="1:7">
      <c r="A20" t="s">
        <v>13</v>
      </c>
      <c r="B20" t="s">
        <v>14</v>
      </c>
      <c r="E20" t="s">
        <v>15</v>
      </c>
      <c r="F20" t="s">
        <v>16</v>
      </c>
      <c r="G20" t="s">
        <v>17</v>
      </c>
    </row>
    <row r="22" spans="1:7">
      <c r="A22" s="13" t="s">
        <v>30</v>
      </c>
      <c r="B22" t="str">
        <f>IF(ISBLANK(A22),"",VLOOKUP(A22,prestations!$A$1:$C$3,2))</f>
        <v>Affranchissement</v>
      </c>
      <c r="E22" s="14">
        <v>1</v>
      </c>
      <c r="F22" s="7">
        <f>IF(ISBLANK(A22),"",VLOOKUP(A22,prestations!$A$1:$C$3,3))</f>
        <v>3.33</v>
      </c>
      <c r="G22" s="9">
        <f>IF(ISBLANK(E22),"",E22*F22)</f>
        <v>3.33</v>
      </c>
    </row>
    <row r="23" spans="1:7">
      <c r="E23" s="8"/>
      <c r="G23" s="8"/>
    </row>
    <row r="24" spans="1:7">
      <c r="A24" s="13" t="s">
        <v>31</v>
      </c>
      <c r="B24" t="str">
        <f>IF(ISBLANK(A24),"",VLOOKUP(A24,prestations!$A$1:$C$3,2))</f>
        <v>Photocopies couleur</v>
      </c>
      <c r="E24" s="14">
        <v>166</v>
      </c>
      <c r="F24" s="7">
        <f>IF(ISBLANK(A24),"",VLOOKUP(A24,prestations!$A$1:$C$3,3))</f>
        <v>0.24</v>
      </c>
      <c r="G24" s="9">
        <f>IF(ISBLANK(E24),"",E24*F24)</f>
        <v>39.839999999999996</v>
      </c>
    </row>
    <row r="25" spans="1:7">
      <c r="E25" s="8"/>
      <c r="G25" s="8"/>
    </row>
    <row r="26" spans="1:7">
      <c r="A26" s="13" t="s">
        <v>32</v>
      </c>
      <c r="B26" t="str">
        <f>IF(ISBLANK(A26),"",VLOOKUP(A26,prestations!$A$1:$C$3,2))</f>
        <v>Photocopies Noir et Blanc</v>
      </c>
      <c r="E26" s="14">
        <v>889</v>
      </c>
      <c r="F26" s="7">
        <f>IF(ISBLANK(A26),"",VLOOKUP(A26,prestations!$A$1:$C$3,3))</f>
        <v>5.5E-2</v>
      </c>
      <c r="G26" s="9">
        <f>IF(ISBLANK(E26),"",E26*F26)</f>
        <v>48.895000000000003</v>
      </c>
    </row>
    <row r="40" spans="1:7">
      <c r="F40" s="3" t="s">
        <v>23</v>
      </c>
      <c r="G40" s="10">
        <f>SUM(G22,G24,G26)</f>
        <v>92.064999999999998</v>
      </c>
    </row>
    <row r="43" spans="1:7">
      <c r="F43" s="4" t="s">
        <v>22</v>
      </c>
      <c r="G43" s="11">
        <f>G40</f>
        <v>92.064999999999998</v>
      </c>
    </row>
    <row r="47" spans="1:7">
      <c r="A47" t="s">
        <v>18</v>
      </c>
    </row>
    <row r="48" spans="1:7">
      <c r="A48" t="s">
        <v>19</v>
      </c>
    </row>
    <row r="49" spans="1:1">
      <c r="A49" t="s">
        <v>20</v>
      </c>
    </row>
    <row r="50" spans="1:1">
      <c r="A50" t="s">
        <v>21</v>
      </c>
    </row>
  </sheetData>
  <pageMargins left="0.70866141732283472" right="0" top="0.74803149606299213" bottom="0.74803149606299213" header="0.31496062992125984" footer="0.31496062992125984"/>
  <pageSetup paperSize="9" orientation="portrait" r:id="rId1"/>
  <ignoredErrors>
    <ignoredError sqref="E7:E8" unlockedFormula="1"/>
  </ignoredErrors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prestations!$A$1:$A$3</xm:f>
          </x14:formula1>
          <xm:sqref>A22 A24 A26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2"/>
  <dimension ref="A1:E10"/>
  <sheetViews>
    <sheetView workbookViewId="0">
      <selection activeCell="C4" sqref="C4"/>
    </sheetView>
  </sheetViews>
  <sheetFormatPr baseColWidth="10" defaultRowHeight="15"/>
  <cols>
    <col min="2" max="2" width="25.85546875" customWidth="1"/>
    <col min="3" max="3" width="20.5703125" bestFit="1" customWidth="1"/>
  </cols>
  <sheetData>
    <row r="1" spans="1:5">
      <c r="A1">
        <v>411007</v>
      </c>
      <c r="B1" t="s">
        <v>24</v>
      </c>
      <c r="C1" t="s">
        <v>25</v>
      </c>
      <c r="E1" t="s">
        <v>39</v>
      </c>
    </row>
    <row r="2" spans="1:5">
      <c r="A2">
        <v>411008</v>
      </c>
      <c r="B2" t="s">
        <v>26</v>
      </c>
      <c r="C2" t="s">
        <v>27</v>
      </c>
      <c r="E2" t="s">
        <v>40</v>
      </c>
    </row>
    <row r="3" spans="1:5">
      <c r="A3">
        <v>411009</v>
      </c>
      <c r="B3" t="s">
        <v>28</v>
      </c>
      <c r="C3" t="s">
        <v>29</v>
      </c>
      <c r="E3" t="s">
        <v>41</v>
      </c>
    </row>
    <row r="4" spans="1:5">
      <c r="A4">
        <v>411010</v>
      </c>
      <c r="B4" t="s">
        <v>45</v>
      </c>
      <c r="C4" t="s">
        <v>47</v>
      </c>
      <c r="E4" t="s">
        <v>46</v>
      </c>
    </row>
    <row r="10" spans="1:5">
      <c r="B10" s="1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3"/>
  <dimension ref="A1:C4"/>
  <sheetViews>
    <sheetView workbookViewId="0">
      <selection activeCell="B6" sqref="B6"/>
    </sheetView>
  </sheetViews>
  <sheetFormatPr baseColWidth="10" defaultRowHeight="15"/>
  <cols>
    <col min="1" max="1" width="15.42578125" bestFit="1" customWidth="1"/>
    <col min="2" max="2" width="24" bestFit="1" customWidth="1"/>
  </cols>
  <sheetData>
    <row r="1" spans="1:3">
      <c r="A1" t="s">
        <v>30</v>
      </c>
      <c r="B1" t="s">
        <v>33</v>
      </c>
      <c r="C1" s="5">
        <v>3.33</v>
      </c>
    </row>
    <row r="2" spans="1:3">
      <c r="A2" t="s">
        <v>31</v>
      </c>
      <c r="B2" t="s">
        <v>34</v>
      </c>
      <c r="C2" s="5">
        <v>0.24</v>
      </c>
    </row>
    <row r="3" spans="1:3">
      <c r="A3" t="s">
        <v>32</v>
      </c>
      <c r="B3" t="s">
        <v>35</v>
      </c>
      <c r="C3" s="5">
        <v>5.5E-2</v>
      </c>
    </row>
    <row r="4" spans="1:3">
      <c r="A4" t="s">
        <v>48</v>
      </c>
      <c r="B4" t="s">
        <v>49</v>
      </c>
      <c r="C4" s="5">
        <v>0.35599999999999998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4"/>
  <dimension ref="A4:C5"/>
  <sheetViews>
    <sheetView workbookViewId="0">
      <selection activeCell="C5" sqref="C5"/>
    </sheetView>
  </sheetViews>
  <sheetFormatPr baseColWidth="10" defaultRowHeight="15"/>
  <cols>
    <col min="1" max="1" width="15.7109375" customWidth="1"/>
  </cols>
  <sheetData>
    <row r="4" spans="1:3">
      <c r="A4" t="s">
        <v>36</v>
      </c>
      <c r="B4">
        <f>VALUE(MID(C4,4,6))</f>
        <v>5174</v>
      </c>
      <c r="C4" t="str">
        <f>Facture!C17</f>
        <v>FC 5174</v>
      </c>
    </row>
    <row r="5" spans="1:3">
      <c r="A5" t="s">
        <v>37</v>
      </c>
      <c r="B5">
        <f>B4+1</f>
        <v>5175</v>
      </c>
      <c r="C5" t="str">
        <f>"FC "&amp;B5</f>
        <v>FC 5175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5"/>
  <dimension ref="A1:F24"/>
  <sheetViews>
    <sheetView showGridLines="0" showRowColHeaders="0" workbookViewId="0">
      <selection activeCell="E8" sqref="E8"/>
    </sheetView>
  </sheetViews>
  <sheetFormatPr baseColWidth="10" defaultRowHeight="15"/>
  <sheetData>
    <row r="1" spans="1:6">
      <c r="A1" t="s">
        <v>0</v>
      </c>
    </row>
    <row r="2" spans="1:6">
      <c r="A2" t="s">
        <v>38</v>
      </c>
    </row>
    <row r="4" spans="1:6">
      <c r="A4" s="17" t="s">
        <v>39</v>
      </c>
    </row>
    <row r="7" spans="1:6">
      <c r="D7" s="13" t="s">
        <v>24</v>
      </c>
    </row>
    <row r="8" spans="1:6">
      <c r="D8" s="13" t="s">
        <v>42</v>
      </c>
    </row>
    <row r="9" spans="1:6">
      <c r="D9" t="s">
        <v>1</v>
      </c>
    </row>
    <row r="10" spans="1:6">
      <c r="D10" t="s">
        <v>2</v>
      </c>
    </row>
    <row r="11" spans="1:6">
      <c r="D11" s="1" t="s">
        <v>4</v>
      </c>
    </row>
    <row r="15" spans="1:6">
      <c r="A15" t="s">
        <v>14</v>
      </c>
      <c r="D15" t="s">
        <v>15</v>
      </c>
      <c r="E15" t="s">
        <v>16</v>
      </c>
      <c r="F15" t="s">
        <v>17</v>
      </c>
    </row>
    <row r="17" spans="1:6">
      <c r="A17" t="s">
        <v>33</v>
      </c>
      <c r="D17" s="14">
        <v>1</v>
      </c>
      <c r="E17" s="7">
        <v>3.33</v>
      </c>
      <c r="F17" s="9">
        <v>3.33</v>
      </c>
    </row>
    <row r="18" spans="1:6">
      <c r="D18" s="8"/>
      <c r="F18" s="8"/>
    </row>
    <row r="19" spans="1:6">
      <c r="A19" t="s">
        <v>34</v>
      </c>
      <c r="D19" s="14">
        <v>166</v>
      </c>
      <c r="E19" s="7">
        <v>0.24</v>
      </c>
      <c r="F19" s="9">
        <v>39.839999999999996</v>
      </c>
    </row>
    <row r="20" spans="1:6">
      <c r="D20" s="8"/>
      <c r="F20" s="8"/>
    </row>
    <row r="21" spans="1:6">
      <c r="A21" t="s">
        <v>35</v>
      </c>
      <c r="D21" s="14">
        <v>889</v>
      </c>
      <c r="E21" s="7">
        <v>5.5E-2</v>
      </c>
      <c r="F21" s="9">
        <v>48.895000000000003</v>
      </c>
    </row>
    <row r="24" spans="1:6">
      <c r="E24" s="1" t="s">
        <v>43</v>
      </c>
      <c r="F24" s="15">
        <f>SUM(F17:F21)</f>
        <v>92.064999999999998</v>
      </c>
    </row>
  </sheetData>
  <dataConsolidate/>
  <dataValidations count="1">
    <dataValidation type="list" allowBlank="1" showInputMessage="1" showErrorMessage="1" sqref="A4">
      <formula1>LIGUES!$E$1:$E$4</formula1>
    </dataValidation>
  </dataValidations>
  <pageMargins left="0.7" right="0.7" top="0.75" bottom="0.75" header="0.3" footer="0.3"/>
  <legacyDrawing r:id="rId1"/>
  <controls>
    <control shapeId="5122" r:id="rId2" name="toto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3</vt:i4>
      </vt:variant>
    </vt:vector>
  </HeadingPairs>
  <TitlesOfParts>
    <vt:vector size="10" baseType="lpstr">
      <vt:lpstr>Facture-baby</vt:lpstr>
      <vt:lpstr>Baby</vt:lpstr>
      <vt:lpstr>Facture</vt:lpstr>
      <vt:lpstr>LIGUES</vt:lpstr>
      <vt:lpstr>prestations</vt:lpstr>
      <vt:lpstr>parametres</vt:lpstr>
      <vt:lpstr>Feuil1</vt:lpstr>
      <vt:lpstr>LIGUES!BabyFoot</vt:lpstr>
      <vt:lpstr>Facture!Zone_d_impression</vt:lpstr>
      <vt:lpstr>'Facture-baby'!Zone_d_impression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Emmanuelle</dc:creator>
  <cp:lastModifiedBy>jhenin</cp:lastModifiedBy>
  <cp:lastPrinted>2012-01-17T13:15:44Z</cp:lastPrinted>
  <dcterms:created xsi:type="dcterms:W3CDTF">2012-01-12T09:09:01Z</dcterms:created>
  <dcterms:modified xsi:type="dcterms:W3CDTF">2015-01-21T07:23:33Z</dcterms:modified>
</cp:coreProperties>
</file>